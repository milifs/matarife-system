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lifernandezsabate/Projects/matarife-system/"/>
    </mc:Choice>
  </mc:AlternateContent>
  <xr:revisionPtr revIDLastSave="0" documentId="8_{D604CA92-B469-3D45-88B6-7D5FAF3CA10F}" xr6:coauthVersionLast="47" xr6:coauthVersionMax="47" xr10:uidLastSave="{00000000-0000-0000-0000-000000000000}"/>
  <bookViews>
    <workbookView xWindow="1500" yWindow="1400" windowWidth="27640" windowHeight="16680" xr2:uid="{BFE75E7D-AADD-3045-8AC2-B05F302E2B6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2" i="1" l="1"/>
  <c r="H20" i="1"/>
  <c r="H19" i="1"/>
  <c r="H17" i="1"/>
  <c r="D14" i="1"/>
  <c r="B14" i="1"/>
  <c r="C9" i="1"/>
  <c r="C12" i="1" s="1"/>
  <c r="H6" i="1"/>
  <c r="H4" i="1"/>
  <c r="I6" i="1" s="1"/>
  <c r="D26" i="1" l="1"/>
  <c r="H18" i="1"/>
  <c r="H26" i="1" s="1"/>
  <c r="H5" i="1"/>
  <c r="H7" i="1" s="1"/>
  <c r="H8" i="1" s="1"/>
  <c r="C11" i="1"/>
</calcChain>
</file>

<file path=xl/sharedStrings.xml><?xml version="1.0" encoding="utf-8"?>
<sst xmlns="http://schemas.openxmlformats.org/spreadsheetml/2006/main" count="43" uniqueCount="41">
  <si>
    <t>Faena</t>
  </si>
  <si>
    <t xml:space="preserve"> DIFERENCIA  RINDE</t>
  </si>
  <si>
    <t>Desvaste 5%</t>
  </si>
  <si>
    <t>DETALLE</t>
  </si>
  <si>
    <t>kilos</t>
  </si>
  <si>
    <t>porcentaje</t>
  </si>
  <si>
    <t>Precio * Kg vivo</t>
  </si>
  <si>
    <t>kg vivos neto con desvaste</t>
  </si>
  <si>
    <t>Proveedor</t>
  </si>
  <si>
    <t>AGUSTIN PEREZ</t>
  </si>
  <si>
    <t>Rinde asegurado 58%</t>
  </si>
  <si>
    <t>Fecha</t>
  </si>
  <si>
    <t>kg media res</t>
  </si>
  <si>
    <t>Cantidad</t>
  </si>
  <si>
    <t>Kg</t>
  </si>
  <si>
    <t xml:space="preserve">diferencia kg </t>
  </si>
  <si>
    <t>Animales</t>
  </si>
  <si>
    <t>FECHA</t>
  </si>
  <si>
    <t>TIPO</t>
  </si>
  <si>
    <t>IMPROTE</t>
  </si>
  <si>
    <t>DIferencia rinde $</t>
  </si>
  <si>
    <t>Kg Neto con desvaste</t>
  </si>
  <si>
    <t>Kg Media Res</t>
  </si>
  <si>
    <t>Rinde Carga</t>
  </si>
  <si>
    <t>TRANSFERENCIA</t>
  </si>
  <si>
    <t>Total a Pagar</t>
  </si>
  <si>
    <t>PAGOS</t>
  </si>
  <si>
    <t>PRECIO VIVO</t>
  </si>
  <si>
    <t>GANANCIA VIAJE</t>
  </si>
  <si>
    <t>SALDO A FAVOR</t>
  </si>
  <si>
    <t>VENTAS MEDIAS</t>
  </si>
  <si>
    <t>VENTA ACHURAS</t>
  </si>
  <si>
    <t>COMPRA ANIMALES</t>
  </si>
  <si>
    <t>EFECTIVO AGUSTIN</t>
  </si>
  <si>
    <t>COSTO FAENA</t>
  </si>
  <si>
    <t>VEP FAENA</t>
  </si>
  <si>
    <t xml:space="preserve">FLETE VIVO </t>
  </si>
  <si>
    <t>SUELDO CAMIONERO</t>
  </si>
  <si>
    <t>LAVADERO</t>
  </si>
  <si>
    <t>COMBUSTIBLE</t>
  </si>
  <si>
    <t>GANANCIA NETA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</si>
</sst>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5" formatCode="&quot;$&quot;\ #,##0"/>
    <numFmt numFmtId="166" formatCode="&quot;$&quot;\ #,##0.00"/>
    <numFmt numFmtId="167" formatCode="[$$-2C0A]\ #,##0"/>
    <numFmt numFmtId="168" formatCode="_-[$$-409]* #,##0_ ;_-[$$-409]* \-#,##0\ ;_-[$$-409]* &quot;-&quot;_ ;_-@_ "/>
  </numFmts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0" fontId="3" fillId="0" borderId="15" xfId="0" applyFont="1" applyBorder="1"/>
    <xf numFmtId="1" fontId="0" fillId="0" borderId="16" xfId="0" applyNumberFormat="1" applyBorder="1"/>
    <xf numFmtId="9" fontId="0" fillId="0" borderId="17" xfId="0" applyNumberFormat="1" applyBorder="1"/>
    <xf numFmtId="0" fontId="0" fillId="5" borderId="13" xfId="0" applyFill="1" applyBorder="1"/>
    <xf numFmtId="0" fontId="0" fillId="6" borderId="13" xfId="0" applyFill="1" applyBorder="1" applyAlignment="1">
      <alignment horizontal="center"/>
    </xf>
    <xf numFmtId="0" fontId="3" fillId="0" borderId="19" xfId="0" applyFont="1" applyBorder="1"/>
    <xf numFmtId="1" fontId="0" fillId="0" borderId="13" xfId="0" applyNumberFormat="1" applyBorder="1"/>
    <xf numFmtId="9" fontId="0" fillId="0" borderId="20" xfId="0" applyNumberFormat="1" applyBorder="1"/>
    <xf numFmtId="16" fontId="0" fillId="6" borderId="13" xfId="0" applyNumberFormat="1" applyFill="1" applyBorder="1" applyAlignment="1">
      <alignment horizontal="center"/>
    </xf>
    <xf numFmtId="166" fontId="0" fillId="0" borderId="18" xfId="0" applyNumberFormat="1" applyBorder="1"/>
    <xf numFmtId="0" fontId="3" fillId="5" borderId="13" xfId="0" applyFont="1" applyFill="1" applyBorder="1"/>
    <xf numFmtId="0" fontId="0" fillId="0" borderId="13" xfId="0" applyBorder="1"/>
    <xf numFmtId="0" fontId="3" fillId="0" borderId="21" xfId="0" applyFont="1" applyBorder="1"/>
    <xf numFmtId="167" fontId="4" fillId="0" borderId="22" xfId="0" applyNumberFormat="1" applyFont="1" applyBorder="1" applyAlignment="1">
      <alignment horizontal="center"/>
    </xf>
    <xf numFmtId="167" fontId="4" fillId="0" borderId="23" xfId="0" applyNumberFormat="1" applyFont="1" applyBorder="1" applyAlignment="1">
      <alignment horizontal="center"/>
    </xf>
    <xf numFmtId="0" fontId="0" fillId="8" borderId="13" xfId="0" applyFill="1" applyBorder="1"/>
    <xf numFmtId="1" fontId="3" fillId="8" borderId="13" xfId="0" applyNumberFormat="1" applyFont="1" applyFill="1" applyBorder="1" applyAlignment="1">
      <alignment horizontal="center"/>
    </xf>
    <xf numFmtId="0" fontId="0" fillId="0" borderId="18" xfId="0" applyBorder="1"/>
    <xf numFmtId="0" fontId="0" fillId="6" borderId="13" xfId="0" applyFill="1" applyBorder="1"/>
    <xf numFmtId="1" fontId="0" fillId="0" borderId="13" xfId="0" applyNumberFormat="1" applyBorder="1" applyAlignment="1">
      <alignment horizontal="center"/>
    </xf>
    <xf numFmtId="0" fontId="0" fillId="8" borderId="24" xfId="0" applyFill="1" applyBorder="1"/>
    <xf numFmtId="1" fontId="3" fillId="8" borderId="24" xfId="0" applyNumberFormat="1" applyFont="1" applyFill="1" applyBorder="1" applyAlignment="1">
      <alignment horizontal="center"/>
    </xf>
    <xf numFmtId="166" fontId="3" fillId="0" borderId="13" xfId="0" applyNumberFormat="1" applyFont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16" fontId="3" fillId="6" borderId="13" xfId="0" applyNumberFormat="1" applyFont="1" applyFill="1" applyBorder="1" applyAlignment="1">
      <alignment horizontal="center"/>
    </xf>
    <xf numFmtId="0" fontId="3" fillId="6" borderId="13" xfId="0" applyFont="1" applyFill="1" applyBorder="1" applyAlignment="1">
      <alignment horizontal="center"/>
    </xf>
    <xf numFmtId="165" fontId="3" fillId="6" borderId="13" xfId="0" applyNumberFormat="1" applyFont="1" applyFill="1" applyBorder="1" applyAlignment="1">
      <alignment horizontal="center"/>
    </xf>
    <xf numFmtId="0" fontId="4" fillId="7" borderId="14" xfId="0" applyFont="1" applyFill="1" applyBorder="1"/>
    <xf numFmtId="166" fontId="4" fillId="7" borderId="14" xfId="0" applyNumberFormat="1" applyFont="1" applyFill="1" applyBorder="1"/>
    <xf numFmtId="0" fontId="3" fillId="9" borderId="1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4" fontId="0" fillId="0" borderId="18" xfId="0" applyNumberFormat="1" applyBorder="1"/>
    <xf numFmtId="0" fontId="0" fillId="0" borderId="26" xfId="0" applyBorder="1"/>
    <xf numFmtId="0" fontId="0" fillId="0" borderId="8" xfId="0" applyBorder="1"/>
    <xf numFmtId="166" fontId="0" fillId="0" borderId="27" xfId="0" applyNumberFormat="1" applyBorder="1"/>
    <xf numFmtId="167" fontId="0" fillId="0" borderId="26" xfId="0" applyNumberFormat="1" applyBorder="1"/>
    <xf numFmtId="0" fontId="0" fillId="0" borderId="19" xfId="0" applyBorder="1"/>
    <xf numFmtId="166" fontId="0" fillId="0" borderId="20" xfId="0" applyNumberFormat="1" applyBorder="1"/>
    <xf numFmtId="168" fontId="0" fillId="0" borderId="20" xfId="0" applyNumberFormat="1" applyBorder="1"/>
    <xf numFmtId="168" fontId="0" fillId="0" borderId="19" xfId="0" applyNumberFormat="1" applyBorder="1"/>
    <xf numFmtId="14" fontId="0" fillId="0" borderId="28" xfId="0" applyNumberFormat="1" applyBorder="1"/>
    <xf numFmtId="0" fontId="0" fillId="0" borderId="28" xfId="0" applyBorder="1"/>
    <xf numFmtId="166" fontId="0" fillId="0" borderId="28" xfId="0" applyNumberFormat="1" applyBorder="1"/>
    <xf numFmtId="168" fontId="0" fillId="0" borderId="29" xfId="0" applyNumberFormat="1" applyBorder="1"/>
    <xf numFmtId="0" fontId="3" fillId="0" borderId="5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166" fontId="4" fillId="3" borderId="31" xfId="0" applyNumberFormat="1" applyFont="1" applyFill="1" applyBorder="1"/>
    <xf numFmtId="0" fontId="3" fillId="10" borderId="32" xfId="0" applyFont="1" applyFill="1" applyBorder="1" applyAlignment="1">
      <alignment horizontal="center"/>
    </xf>
    <xf numFmtId="0" fontId="3" fillId="10" borderId="23" xfId="0" applyFont="1" applyFill="1" applyBorder="1" applyAlignment="1">
      <alignment horizontal="center"/>
    </xf>
    <xf numFmtId="168" fontId="3" fillId="10" borderId="4" xfId="0" applyNumberFormat="1" applyFont="1" applyFill="1" applyBorder="1"/>
    <xf numFmtId="166" fontId="5" fillId="0" borderId="18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9B82E-9B3E-6646-A66D-FB67663DB7E0}">
  <dimension ref="B1:I26"/>
  <sheetViews>
    <sheetView tabSelected="1" workbookViewId="0">
      <selection activeCell="K15" sqref="K15"/>
    </sheetView>
  </sheetViews>
  <sheetFormatPr baseColWidth="10" defaultRowHeight="16" x14ac:dyDescent="0.2"/>
  <cols>
    <col min="2" max="2" width="21.1640625" customWidth="1"/>
    <col min="3" max="3" width="31.5" customWidth="1"/>
    <col min="4" max="4" width="14" bestFit="1" customWidth="1"/>
    <col min="7" max="7" width="24.33203125" customWidth="1"/>
    <col min="8" max="8" width="19.1640625" customWidth="1"/>
  </cols>
  <sheetData>
    <row r="1" spans="2:9" ht="17" thickBot="1" x14ac:dyDescent="0.25"/>
    <row r="2" spans="2:9" ht="17" thickBot="1" x14ac:dyDescent="0.25">
      <c r="B2" s="1" t="s">
        <v>0</v>
      </c>
      <c r="C2" s="2"/>
      <c r="D2" s="3"/>
      <c r="G2" s="4" t="s">
        <v>1</v>
      </c>
      <c r="H2" s="5"/>
      <c r="I2" s="6"/>
    </row>
    <row r="3" spans="2:9" ht="17" thickBot="1" x14ac:dyDescent="0.25">
      <c r="B3" s="7" t="s">
        <v>2</v>
      </c>
      <c r="C3" s="7"/>
      <c r="D3" s="8">
        <v>95</v>
      </c>
      <c r="G3" s="9" t="s">
        <v>3</v>
      </c>
      <c r="H3" s="9" t="s">
        <v>4</v>
      </c>
      <c r="I3" s="10" t="s">
        <v>5</v>
      </c>
    </row>
    <row r="4" spans="2:9" x14ac:dyDescent="0.2">
      <c r="B4" s="11" t="s">
        <v>6</v>
      </c>
      <c r="C4" s="12"/>
      <c r="D4" s="13">
        <v>5500</v>
      </c>
      <c r="G4" s="14" t="s">
        <v>7</v>
      </c>
      <c r="H4" s="15">
        <f>C9</f>
        <v>5712.35</v>
      </c>
      <c r="I4" s="16">
        <v>1</v>
      </c>
    </row>
    <row r="5" spans="2:9" x14ac:dyDescent="0.2">
      <c r="B5" s="17" t="s">
        <v>8</v>
      </c>
      <c r="C5" s="18" t="s">
        <v>9</v>
      </c>
      <c r="D5" s="18"/>
      <c r="G5" s="19" t="s">
        <v>10</v>
      </c>
      <c r="H5" s="20">
        <f>H4*I5</f>
        <v>3313.163</v>
      </c>
      <c r="I5" s="21">
        <v>0.57999999999999996</v>
      </c>
    </row>
    <row r="6" spans="2:9" x14ac:dyDescent="0.2">
      <c r="B6" s="17" t="s">
        <v>11</v>
      </c>
      <c r="C6" s="22">
        <v>46182</v>
      </c>
      <c r="D6" s="18"/>
      <c r="G6" s="19" t="s">
        <v>12</v>
      </c>
      <c r="H6" s="20">
        <f>C10</f>
        <v>3170</v>
      </c>
      <c r="I6" s="21">
        <f>H6/H4</f>
        <v>0.55493798524250082</v>
      </c>
    </row>
    <row r="7" spans="2:9" x14ac:dyDescent="0.2">
      <c r="B7" s="24"/>
      <c r="C7" s="24" t="s">
        <v>13</v>
      </c>
      <c r="D7" s="24" t="s">
        <v>14</v>
      </c>
      <c r="G7" s="19" t="s">
        <v>15</v>
      </c>
      <c r="H7" s="20">
        <f>ROUND(H5-H6,0)</f>
        <v>143</v>
      </c>
      <c r="I7" s="21"/>
    </row>
    <row r="8" spans="2:9" ht="17" thickBot="1" x14ac:dyDescent="0.25">
      <c r="B8" s="24" t="s">
        <v>16</v>
      </c>
      <c r="C8" s="25">
        <v>15</v>
      </c>
      <c r="D8" s="25">
        <v>6013</v>
      </c>
      <c r="G8" s="26" t="s">
        <v>20</v>
      </c>
      <c r="H8" s="27">
        <f>(H7*D4)</f>
        <v>786500</v>
      </c>
      <c r="I8" s="28"/>
    </row>
    <row r="9" spans="2:9" x14ac:dyDescent="0.2">
      <c r="B9" s="29" t="s">
        <v>21</v>
      </c>
      <c r="C9" s="30">
        <f>(D8*D3)/100</f>
        <v>5712.35</v>
      </c>
      <c r="D9" s="30"/>
    </row>
    <row r="10" spans="2:9" x14ac:dyDescent="0.2">
      <c r="B10" s="32" t="s">
        <v>22</v>
      </c>
      <c r="C10" s="33">
        <v>3170</v>
      </c>
      <c r="D10" s="33"/>
    </row>
    <row r="11" spans="2:9" x14ac:dyDescent="0.2">
      <c r="B11" s="34" t="s">
        <v>23</v>
      </c>
      <c r="C11" s="35">
        <f>(C10*100)/C9</f>
        <v>55.493798524250089</v>
      </c>
      <c r="D11" s="35"/>
    </row>
    <row r="12" spans="2:9" x14ac:dyDescent="0.2">
      <c r="B12" s="17" t="s">
        <v>25</v>
      </c>
      <c r="C12" s="36">
        <f>PRODUCT(D4,C9)</f>
        <v>31417925.000000004</v>
      </c>
      <c r="D12" s="36"/>
    </row>
    <row r="13" spans="2:9" x14ac:dyDescent="0.2">
      <c r="B13" s="37" t="s">
        <v>26</v>
      </c>
      <c r="C13" s="37"/>
      <c r="D13" s="37"/>
    </row>
    <row r="14" spans="2:9" ht="17" thickBot="1" x14ac:dyDescent="0.25">
      <c r="B14" s="38">
        <f>C6</f>
        <v>46182</v>
      </c>
      <c r="C14" s="39" t="s">
        <v>27</v>
      </c>
      <c r="D14" s="40">
        <f>D4</f>
        <v>5500</v>
      </c>
    </row>
    <row r="15" spans="2:9" ht="17" thickBot="1" x14ac:dyDescent="0.25">
      <c r="B15" s="41" t="s">
        <v>17</v>
      </c>
      <c r="C15" s="41" t="s">
        <v>18</v>
      </c>
      <c r="D15" s="42" t="s">
        <v>19</v>
      </c>
      <c r="F15" s="43" t="s">
        <v>28</v>
      </c>
      <c r="G15" s="44"/>
      <c r="H15" s="45"/>
    </row>
    <row r="16" spans="2:9" x14ac:dyDescent="0.2">
      <c r="B16" s="46"/>
      <c r="C16" s="31" t="s">
        <v>29</v>
      </c>
      <c r="D16" s="23">
        <v>15809800</v>
      </c>
      <c r="F16" s="47"/>
      <c r="G16" s="48" t="s">
        <v>30</v>
      </c>
      <c r="H16" s="65">
        <v>32968000</v>
      </c>
    </row>
    <row r="17" spans="2:8" x14ac:dyDescent="0.2">
      <c r="B17" s="46">
        <v>46200</v>
      </c>
      <c r="C17" s="31" t="s">
        <v>24</v>
      </c>
      <c r="D17" s="23">
        <v>10000000</v>
      </c>
      <c r="F17" s="50">
        <v>33000</v>
      </c>
      <c r="G17" s="48" t="s">
        <v>31</v>
      </c>
      <c r="H17" s="49">
        <f>(F17*C8)*-1</f>
        <v>-495000</v>
      </c>
    </row>
    <row r="18" spans="2:8" x14ac:dyDescent="0.2">
      <c r="B18" s="46">
        <v>46202</v>
      </c>
      <c r="C18" s="31" t="s">
        <v>24</v>
      </c>
      <c r="D18" s="23">
        <v>4900000</v>
      </c>
      <c r="F18" s="51"/>
      <c r="G18" s="25" t="s">
        <v>32</v>
      </c>
      <c r="H18" s="52">
        <f>C12</f>
        <v>31417925.000000004</v>
      </c>
    </row>
    <row r="19" spans="2:8" x14ac:dyDescent="0.2">
      <c r="B19" s="46">
        <v>46202</v>
      </c>
      <c r="C19" s="31" t="s">
        <v>33</v>
      </c>
      <c r="D19" s="23">
        <v>31000000</v>
      </c>
      <c r="F19" s="50">
        <v>52036</v>
      </c>
      <c r="G19" s="25" t="s">
        <v>34</v>
      </c>
      <c r="H19" s="53">
        <f>F19*C8</f>
        <v>780540</v>
      </c>
    </row>
    <row r="20" spans="2:8" x14ac:dyDescent="0.2">
      <c r="B20" s="46"/>
      <c r="C20" s="31"/>
      <c r="D20" s="23"/>
      <c r="F20" s="54">
        <v>9067</v>
      </c>
      <c r="G20" s="25" t="s">
        <v>35</v>
      </c>
      <c r="H20" s="53">
        <f>PRODUCT(F20,C8)</f>
        <v>136005</v>
      </c>
    </row>
    <row r="21" spans="2:8" x14ac:dyDescent="0.2">
      <c r="B21" s="46"/>
      <c r="C21" s="31"/>
      <c r="D21" s="23"/>
      <c r="F21" s="54"/>
      <c r="G21" s="25" t="s">
        <v>36</v>
      </c>
      <c r="H21" s="53">
        <v>205000</v>
      </c>
    </row>
    <row r="22" spans="2:8" x14ac:dyDescent="0.2">
      <c r="B22" s="46"/>
      <c r="C22" s="31"/>
      <c r="D22" s="23"/>
      <c r="F22" s="51">
        <v>1500</v>
      </c>
      <c r="G22" s="25" t="s">
        <v>37</v>
      </c>
      <c r="H22" s="53">
        <f>PRODUCT(F22,C8,2)</f>
        <v>45000</v>
      </c>
    </row>
    <row r="23" spans="2:8" x14ac:dyDescent="0.2">
      <c r="B23" s="55"/>
      <c r="C23" s="56"/>
      <c r="D23" s="57"/>
      <c r="F23" s="51"/>
      <c r="G23" s="25"/>
      <c r="H23" s="58"/>
    </row>
    <row r="24" spans="2:8" x14ac:dyDescent="0.2">
      <c r="B24" s="55"/>
      <c r="C24" s="56"/>
      <c r="D24" s="57"/>
      <c r="F24" s="51"/>
      <c r="G24" s="25" t="s">
        <v>38</v>
      </c>
      <c r="H24" s="58">
        <v>30000</v>
      </c>
    </row>
    <row r="25" spans="2:8" ht="17" thickBot="1" x14ac:dyDescent="0.25">
      <c r="B25" s="55"/>
      <c r="C25" s="56"/>
      <c r="D25" s="57"/>
      <c r="F25" s="51"/>
      <c r="G25" s="25" t="s">
        <v>39</v>
      </c>
      <c r="H25" s="58">
        <v>100000</v>
      </c>
    </row>
    <row r="26" spans="2:8" ht="17" thickBot="1" x14ac:dyDescent="0.25">
      <c r="B26" s="59" t="s">
        <v>29</v>
      </c>
      <c r="C26" s="60"/>
      <c r="D26" s="61">
        <f>SUM(D16:D25)-C12</f>
        <v>30291874.999999996</v>
      </c>
      <c r="F26" s="62" t="s">
        <v>40</v>
      </c>
      <c r="G26" s="63"/>
      <c r="H26" s="64">
        <f>SUM(H16:H25)*-1</f>
        <v>-65187470</v>
      </c>
    </row>
  </sheetData>
  <mergeCells count="15">
    <mergeCell ref="B26:C26"/>
    <mergeCell ref="F26:G26"/>
    <mergeCell ref="C10:D10"/>
    <mergeCell ref="C11:D11"/>
    <mergeCell ref="C12:D12"/>
    <mergeCell ref="B13:D13"/>
    <mergeCell ref="F15:H15"/>
    <mergeCell ref="C5:D5"/>
    <mergeCell ref="C6:D6"/>
    <mergeCell ref="H8:I8"/>
    <mergeCell ref="C9:D9"/>
    <mergeCell ref="B2:D2"/>
    <mergeCell ref="G2:I2"/>
    <mergeCell ref="B3:C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María del Milagro Fernández Sabate</dc:creator>
  <cp:lastModifiedBy>María del Milagro Fernández Sabate</cp:lastModifiedBy>
  <dcterms:created xsi:type="dcterms:W3CDTF">2026-10-19T20:41:19Z</dcterms:created>
  <dcterms:modified xsi:type="dcterms:W3CDTF">2026-10-19T20:43:52Z</dcterms:modified>
</cp:coreProperties>
</file>